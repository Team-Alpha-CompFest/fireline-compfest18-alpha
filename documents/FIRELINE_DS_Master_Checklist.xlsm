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S Master Checklist CP2" sheetId="1" r:id="rId4"/>
    <sheet state="visible" name="Phase Summary" sheetId="2" r:id="rId5"/>
  </sheets>
  <definedNames/>
  <calcPr/>
  <extLst>
    <ext uri="GoogleSheetsCustomDataVersion2">
      <go:sheetsCustomData xmlns:go="http://customooxmlschemas.google.com/" r:id="rId6" roundtripDataChecksum="x5mffnmUZZLffS4FcGCtBBL4NWQdw/iXofcXiNj6hf8="/>
    </ext>
  </extLst>
</workbook>
</file>

<file path=xl/sharedStrings.xml><?xml version="1.0" encoding="utf-8"?>
<sst xmlns="http://schemas.openxmlformats.org/spreadsheetml/2006/main" count="154" uniqueCount="95">
  <si>
    <t>Phase</t>
  </si>
  <si>
    <t>Task</t>
  </si>
  <si>
    <t>Detail</t>
  </si>
  <si>
    <t>PIC</t>
  </si>
  <si>
    <t>Status</t>
  </si>
  <si>
    <t>Deadline</t>
  </si>
  <si>
    <t>Output / Dependency</t>
  </si>
  <si>
    <t>Notes</t>
  </si>
  <si>
    <t>Repository Consolidation</t>
  </si>
  <si>
    <t>Audit all branches</t>
  </si>
  <si>
    <t>Inventaris branch, notebook, script, raw/processed data, hasil EDA, report, dan file spasial dari seluruh anggota DS; tandai duplikat dan konflik versi.</t>
  </si>
  <si>
    <t>Grace</t>
  </si>
  <si>
    <t>Done</t>
  </si>
  <si>
    <t>Branch &amp; file inventory</t>
  </si>
  <si>
    <t>Merge work to main</t>
  </si>
  <si>
    <t>Merge branch satu per satu ke main tanpa menghapus raw data; pertahankan notebook, report, script penting, CSV/GeoJSON/GPKG, dan hasil feature engineering.</t>
  </si>
  <si>
    <t>Main menjadi single source of truth</t>
  </si>
  <si>
    <t>Standardize repository</t>
  </si>
  <si>
    <t>Rapikan struktur folder data/notebook/src/report/output dan perbaiki path notebook/script yang rusak setelah merge.</t>
  </si>
  <si>
    <t>Repo structure rapi &amp; reproducible</t>
  </si>
  <si>
    <t>Data Alignment</t>
  </si>
  <si>
    <t>Create data catalog</t>
  </si>
  <si>
    <t>Dokumentasikan source, cakupan wilayah, periode, granularitas waktu/spasial, unit observasi, raw vs derived, fungsi, dan keterbatasan setiap dataset.</t>
  </si>
  <si>
    <t>DATA_CATALOG.md</t>
  </si>
  <si>
    <t>Define integration contract</t>
  </si>
  <si>
    <t>Sepakati analytical grain, incident ID, temporal convention, spatial convention, source of truth, serta strategi join tiap dataset.</t>
  </si>
  <si>
    <t>Rizki</t>
  </si>
  <si>
    <t>In Progress</t>
  </si>
  <si>
    <t>DATA_INTEGRATION_CONTRACT.md</t>
  </si>
  <si>
    <t>Review existing EDA findings</t>
  </si>
  <si>
    <t>Satukan findings dari NASA, BMKG/weather, exposure, peatland, dan dataset pendukung; bedakan finding, hypothesis, limitation, dan actionable insight.</t>
  </si>
  <si>
    <t>Master findings summary</t>
  </si>
  <si>
    <t>Analytical Integration</t>
  </si>
  <si>
    <t>Audit peatland join</t>
  </si>
  <si>
    <t>Validasi CRS, geometry, point-in-polygon, matched/unmatched hotspot, duplicate rows, peat depth/class, dan alasan unmatched.</t>
  </si>
  <si>
    <t>Habib</t>
  </si>
  <si>
    <t>Peatland join audit</t>
  </si>
  <si>
    <t>DS × SEA Alignment</t>
  </si>
  <si>
    <t>Define DS outputs to SEA</t>
  </si>
  <si>
    <t>Tentukan field yang harus dikonsumsi sistem: incident_id, koordinat, timestamp, risk_score, urgency_tier, risk factors, status, verification, last_updated.</t>
  </si>
  <si>
    <t>All Member</t>
  </si>
  <si>
    <t>DS→SEA data contract</t>
  </si>
  <si>
    <t>Define feedback from SEA/B2C</t>
  </si>
  <si>
    <t>Tentukan data yang kembali ke DS: citizen report, verification result, dispatch status, resolution status, dan event timestamp.</t>
  </si>
  <si>
    <t>SEA→DS feedback contract</t>
  </si>
  <si>
    <t>Align update &amp; fallback behavior</t>
  </si>
  <si>
    <t>Sepakati refresh frequency, API/data update flow, cached data, dan timestamp agar dashboard tidak menampilkan data stale tanpa penanda.</t>
  </si>
  <si>
    <t>Integration behavior spec</t>
  </si>
  <si>
    <t>Build integrated analytical dataset</t>
  </si>
  <si>
    <t>Gabungkan NASA FIRMS dengan weather, peatland, soil moisture, dan school exposure sesuai join yang terbukti valid; jangan memaksakan join.</t>
  </si>
  <si>
    <t>Integrated analytical dataset</t>
  </si>
  <si>
    <t>Validate features &amp; CRPI readiness</t>
  </si>
  <si>
    <t>Audit feature kandidat, missingness, leakage, coverage, interpretasi, lalu cek apakah Hazard/Vulnerability/Exposure benar-benar didukung data sebelum finalisasi CRPI.</t>
  </si>
  <si>
    <t>Feature &amp; CRPI readiness report</t>
  </si>
  <si>
    <t>Dashboard Build &amp; Validation</t>
  </si>
  <si>
    <t>Map analytical outputs to 5 tabs</t>
  </si>
  <si>
    <t>Finalkan KPI, chart, map layer, filter, tooltip, aggregation, dan calculated field berdasarkan data yang benar-benar tersedia untuk Tab 1–5.</t>
  </si>
  <si>
    <t>Not Started</t>
  </si>
  <si>
    <t>Final dashboard spec</t>
  </si>
  <si>
    <t>Build &amp; validate Tableau dashboard</t>
  </si>
  <si>
    <t>Bangun dashboard Tableau sesuai spec, cek interaktivitas/cross-filter, readability, consistency, performance, dan pastikan tidak ada visual yang memakai data/asumsi yang belum tervalidasi.</t>
  </si>
  <si>
    <t>Dashboard Tableau functional</t>
  </si>
  <si>
    <t>Dashboard QA &amp; refinement</t>
  </si>
  <si>
    <t>Uji semua KPI, formula, filter wilayah/waktu, tooltip, spatial layer, ranking CRPI, dan konsistensi angka dengan analytical dataset; revisi sampai siap demo/submit.</t>
  </si>
  <si>
    <t>Dashboard final</t>
  </si>
  <si>
    <t>Checkpoint 2 Submission</t>
  </si>
  <si>
    <t>Prepare DSA documentation</t>
  </si>
  <si>
    <t>Dokumentasikan baseline model konseptual, CRPI logic, visualisation specs, asumsi, data limitation, dan relasi data-to-dashboard untuk laporan submission.</t>
  </si>
  <si>
    <t>SystemData_Checkpoint2_Alpha.pdf contribution</t>
  </si>
  <si>
    <t>Coordinate with UXA &amp; SEA</t>
  </si>
  <si>
    <t>Pastikan dashboard yang dibuat konsisten dengan prototype/high-fidelity UI, data flow, ERD/API contract, dan output yang dibutuhkan sistem.</t>
  </si>
  <si>
    <t>Integrated team deliverable</t>
  </si>
  <si>
    <t>Final submission check</t>
  </si>
  <si>
    <t>Cek format file, completeness deliverable, evidence dashboard, pembagian kerja/progress, dan kesiapan sebelum deadline 6 September 2026.</t>
  </si>
  <si>
    <t>Goal</t>
  </si>
  <si>
    <t>Main Deliverable</t>
  </si>
  <si>
    <t>Satukan seluruh pekerjaan DS ke main</t>
  </si>
  <si>
    <t>Single source of truth</t>
  </si>
  <si>
    <t>Samakan pemahaman data &amp; aturan integrasi</t>
  </si>
  <si>
    <t>Data catalog + integration contract</t>
  </si>
  <si>
    <t>Definisikan handover data dan feedback loop</t>
  </si>
  <si>
    <t>DS to SEA contract</t>
  </si>
  <si>
    <t>Bangun integrated analytical dataset &amp; validasi fitur</t>
  </si>
  <si>
    <t>Integrated dataset + CRPI readiness</t>
  </si>
  <si>
    <t>Buat dashboard tableau final</t>
  </si>
  <si>
    <t>Tableau-ready datasets + DS sign-off</t>
  </si>
  <si>
    <t>Dokumentasi, sinkronisasi lintas tim, dan final check</t>
  </si>
  <si>
    <t>Submission-ready package</t>
  </si>
  <si>
    <t>1. Repository Consolidation</t>
  </si>
  <si>
    <t>2. Data Alignment</t>
  </si>
  <si>
    <t>3. DS × SEA Alignment</t>
  </si>
  <si>
    <t>DS↔SEA contract</t>
  </si>
  <si>
    <t>4. Analytical Integration</t>
  </si>
  <si>
    <t>5. Dashboard Readiness</t>
  </si>
  <si>
    <t>Siapkan output final untuk Tableau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</si>
</sst>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1.0"/>
      <color theme="1"/>
      <name val="Poppins"/>
    </font>
    <font>
      <sz val="11.0"/>
      <color theme="1"/>
      <name val="Poppins"/>
    </font>
    <font>
      <sz val="11.0"/>
      <color rgb="FF000000"/>
      <name val="Poppins"/>
    </font>
    <font>
      <u/>
      <sz val="11.0"/>
      <color rgb="FF0000FF"/>
      <name val="Poppins"/>
    </font>
    <font>
      <color theme="1"/>
      <name val="Carlito"/>
      <scheme val="minor"/>
    </font>
    <font>
      <b/>
      <sz val="11.0"/>
      <color rgb="FFFFFFFF"/>
      <name val="Poppins"/>
    </font>
  </fonts>
  <fills count="9">
    <fill>
      <patternFill patternType="none"/>
    </fill>
    <fill>
      <patternFill patternType="lightGray"/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D0E0E3"/>
        <bgColor rgb="FFD0E0E3"/>
      </patternFill>
    </fill>
    <fill>
      <patternFill patternType="solid">
        <fgColor rgb="FFD9D2E9"/>
        <bgColor rgb="FFD9D2E9"/>
      </patternFill>
    </fill>
    <fill>
      <patternFill patternType="solid">
        <fgColor rgb="FFC9DAF8"/>
        <bgColor rgb="FFC9DAF8"/>
      </patternFill>
    </fill>
    <fill>
      <patternFill patternType="solid">
        <fgColor rgb="FFF4CCCC"/>
        <bgColor rgb="FFF4CCCC"/>
      </patternFill>
    </fill>
    <fill>
      <patternFill patternType="solid">
        <fgColor rgb="FF2F80ED"/>
        <bgColor rgb="FF2F80ED"/>
      </patternFill>
    </fill>
  </fills>
  <borders count="2">
    <border/>
    <border>
      <left style="thin">
        <color rgb="FFD2D2DF"/>
      </left>
      <right style="thin">
        <color rgb="FFD2D2DF"/>
      </right>
      <top style="thin">
        <color rgb="FFD2D2DF"/>
      </top>
      <bottom style="thin">
        <color rgb="FFD2D2DF"/>
      </bottom>
    </border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shrinkToFit="0" vertical="center" wrapText="0"/>
    </xf>
    <xf borderId="0" fillId="0" fontId="1" numFmtId="0" xfId="0" applyAlignment="1" applyFont="1">
      <alignment horizontal="center" readingOrder="0" shrinkToFit="0" vertical="center" wrapText="0"/>
    </xf>
    <xf borderId="0" fillId="2" fontId="2" numFmtId="0" xfId="0" applyAlignment="1" applyFill="1" applyFont="1">
      <alignment horizontal="left" readingOrder="0" shrinkToFit="0" vertical="center" wrapText="1"/>
    </xf>
    <xf borderId="0" fillId="2" fontId="2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readingOrder="0" shrinkToFit="0" vertical="center" wrapText="1"/>
    </xf>
    <xf borderId="1" fillId="0" fontId="3" numFmtId="14" xfId="0" applyAlignment="1" applyBorder="1" applyFont="1" applyNumberFormat="1">
      <alignment readingOrder="0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3" fontId="2" numFmtId="0" xfId="0" applyAlignment="1" applyFill="1" applyFont="1">
      <alignment horizontal="left" readingOrder="0" shrinkToFit="0" vertical="center" wrapText="1"/>
    </xf>
    <xf borderId="0" fillId="3" fontId="2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horizontal="center" readingOrder="0" shrinkToFit="0" vertical="center" wrapText="1"/>
    </xf>
    <xf borderId="0" fillId="0" fontId="5" numFmtId="0" xfId="0" applyAlignment="1" applyFont="1">
      <alignment readingOrder="0" shrinkToFit="0" vertical="center" wrapText="1"/>
    </xf>
    <xf borderId="0" fillId="4" fontId="2" numFmtId="0" xfId="0" applyAlignment="1" applyFill="1" applyFont="1">
      <alignment horizontal="left" readingOrder="0" shrinkToFit="0" vertical="center" wrapText="1"/>
    </xf>
    <xf borderId="0" fillId="4" fontId="2" numFmtId="0" xfId="0" applyAlignment="1" applyFill="1" applyFont="1">
      <alignment horizontal="center" shrinkToFit="0" vertical="center" wrapText="1"/>
    </xf>
    <xf borderId="0" fillId="5" fontId="2" numFmtId="0" xfId="0" applyAlignment="1" applyFill="1" applyFont="1">
      <alignment horizontal="left" readingOrder="0" shrinkToFit="0" vertical="center" wrapText="1"/>
    </xf>
    <xf borderId="0" fillId="5" fontId="2" numFmtId="0" xfId="0" applyAlignment="1" applyFill="1" applyFont="1">
      <alignment horizontal="center" shrinkToFit="0" vertical="center" wrapText="1"/>
    </xf>
    <xf borderId="1" fillId="6" fontId="3" numFmtId="0" xfId="0" applyAlignment="1" applyBorder="1" applyFill="1" applyFont="1">
      <alignment horizontal="left" readingOrder="0" shrinkToFit="0" vertical="center" wrapText="1"/>
    </xf>
    <xf borderId="1" fillId="6" fontId="3" numFmtId="0" xfId="0" applyAlignment="1" applyBorder="1" applyFill="1" applyFont="1">
      <alignment horizontal="center" readingOrder="0" shrinkToFit="0" vertical="center" wrapText="1"/>
    </xf>
    <xf borderId="1" fillId="0" fontId="3" numFmtId="0" xfId="0" applyAlignment="1" applyBorder="1" applyFont="1">
      <alignment readingOrder="0" shrinkToFit="0" vertical="center" wrapText="1"/>
    </xf>
    <xf borderId="1" fillId="0" fontId="3" numFmtId="0" xfId="0" applyAlignment="1" applyBorder="1" applyFont="1">
      <alignment horizontal="center" readingOrder="0" shrinkToFit="0" vertical="center" wrapText="1"/>
    </xf>
    <xf borderId="1" fillId="7" fontId="3" numFmtId="0" xfId="0" applyAlignment="1" applyBorder="1" applyFill="1" applyFont="1">
      <alignment horizontal="left" readingOrder="0" shrinkToFit="0" vertical="center" wrapText="1"/>
    </xf>
    <xf borderId="1" fillId="7" fontId="3" numFmtId="0" xfId="0" applyAlignment="1" applyBorder="1" applyFill="1" applyFont="1">
      <alignment horizontal="center" readingOrder="0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8" fontId="6" numFmtId="0" xfId="0" applyAlignment="1" applyFill="1" applyFont="1">
      <alignment horizontal="center"/>
    </xf>
    <xf borderId="0" fillId="0" fontId="2" numFmtId="0" xfId="0" applyAlignment="1" applyFont="1">
      <alignment readingOrder="0" shrinkToFit="0" wrapText="1"/>
    </xf>
    <xf borderId="0" fillId="0" fontId="2" numFmtId="0" xfId="0" applyAlignment="1" applyFont="1">
      <alignment shrinkToFit="0" wrapText="1"/>
    </xf>
    <xf borderId="1" fillId="0" fontId="3" numFmtId="0" xfId="0" applyAlignment="1" applyBorder="1" applyFont="1">
      <alignment readingOrder="0"/>
    </xf>
  </cellXfs>
  <cellStyles count="1">
    <cellStyle xfId="0" name="Normal" builtinId="0"/>
  </cellStyles>
  <dxfs count="8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/>
      <fill>
        <patternFill patternType="solid">
          <fgColor rgb="FFDCFCE7"/>
          <bgColor rgb="FFDCFCE7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solid">
          <fgColor rgb="FFFEE2E2"/>
          <bgColor rgb="FFFEE2E2"/>
        </patternFill>
      </fill>
      <border/>
    </dxf>
  </dxfs>
  <tableStyles count="1">
    <tableStyle count="4" pivot="0" name="DS Master Checklist CP2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H19" displayName="Project_Execution_Progress" name="Project_Execution_Progress" id="1">
  <tableColumns count="8">
    <tableColumn name="Phase" id="1"/>
    <tableColumn name="Task" id="2"/>
    <tableColumn name="Detail" id="3"/>
    <tableColumn name="PIC" id="4"/>
    <tableColumn name="Status" id="5"/>
    <tableColumn name="Deadline" id="6"/>
    <tableColumn name="Output / Dependency" id="7"/>
    <tableColumn name="Notes" id="8"/>
  </tableColumns>
  <tableStyleInfo name="DS Master Checklist CP2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://data_catalog.md/" TargetMode="External"/><Relationship Id="rId2" Type="http://schemas.openxmlformats.org/officeDocument/2006/relationships/hyperlink" Target="http://data_integration_contract.md/" TargetMode="External"/><Relationship Id="rId3" Type="http://schemas.openxmlformats.org/officeDocument/2006/relationships/drawing" Target="../drawings/drawing1.xml"/><Relationship Id="rId5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4.0"/>
    <col customWidth="1" min="2" max="2" width="30.0"/>
    <col customWidth="1" min="3" max="3" width="65.13"/>
    <col customWidth="1" min="4" max="4" width="14.0"/>
    <col customWidth="1" min="5" max="5" width="16.0"/>
    <col customWidth="1" min="6" max="6" width="17.13"/>
    <col customWidth="1" min="7" max="7" width="36.0"/>
    <col customWidth="1" min="8" max="8" width="25.63"/>
    <col customWidth="1" min="9" max="27" width="8.63"/>
  </cols>
  <sheetData>
    <row r="1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2" t="s">
        <v>7</v>
      </c>
    </row>
    <row r="2" ht="22.5" customHeight="1">
      <c r="A2" s="3" t="s">
        <v>8</v>
      </c>
      <c r="B2" s="4" t="s">
        <v>9</v>
      </c>
      <c r="C2" s="4" t="s">
        <v>10</v>
      </c>
      <c r="D2" s="5" t="s">
        <v>11</v>
      </c>
      <c r="E2" s="5" t="s">
        <v>12</v>
      </c>
      <c r="F2" s="6">
        <f t="shared" ref="F2:F7" si="1">DATE(2026,9,4)</f>
        <v>46269</v>
      </c>
      <c r="G2" s="7" t="s">
        <v>13</v>
      </c>
    </row>
    <row r="3" ht="22.5" customHeight="1">
      <c r="A3" s="3" t="s">
        <v>8</v>
      </c>
      <c r="B3" s="4" t="s">
        <v>14</v>
      </c>
      <c r="C3" s="4" t="s">
        <v>15</v>
      </c>
      <c r="D3" s="5" t="s">
        <v>11</v>
      </c>
      <c r="E3" s="5" t="s">
        <v>12</v>
      </c>
      <c r="F3" s="6">
        <f t="shared" si="1"/>
        <v>46269</v>
      </c>
      <c r="G3" s="7" t="s">
        <v>16</v>
      </c>
    </row>
    <row r="4" ht="22.5" customHeight="1">
      <c r="A4" s="3" t="s">
        <v>8</v>
      </c>
      <c r="B4" s="4" t="s">
        <v>17</v>
      </c>
      <c r="C4" s="4" t="s">
        <v>18</v>
      </c>
      <c r="D4" s="5" t="s">
        <v>11</v>
      </c>
      <c r="E4" s="5" t="s">
        <v>12</v>
      </c>
      <c r="F4" s="6">
        <f t="shared" si="1"/>
        <v>46269</v>
      </c>
      <c r="G4" s="7" t="s">
        <v>19</v>
      </c>
    </row>
    <row r="5" ht="22.5" customHeight="1">
      <c r="A5" s="8" t="s">
        <v>20</v>
      </c>
      <c r="B5" s="9" t="s">
        <v>21</v>
      </c>
      <c r="C5" s="9" t="s">
        <v>22</v>
      </c>
      <c r="D5" s="5" t="s">
        <v>11</v>
      </c>
      <c r="E5" s="5" t="s">
        <v>12</v>
      </c>
      <c r="F5" s="6">
        <f t="shared" si="1"/>
        <v>46269</v>
      </c>
      <c r="G5" s="10" t="s">
        <v>23</v>
      </c>
      <c r="H5" s="11"/>
    </row>
    <row r="6" ht="22.5" customHeight="1">
      <c r="A6" s="8" t="s">
        <v>20</v>
      </c>
      <c r="B6" s="9" t="s">
        <v>24</v>
      </c>
      <c r="C6" s="9" t="s">
        <v>25</v>
      </c>
      <c r="D6" s="5" t="s">
        <v>26</v>
      </c>
      <c r="E6" s="5" t="s">
        <v>27</v>
      </c>
      <c r="F6" s="6">
        <f t="shared" si="1"/>
        <v>46269</v>
      </c>
      <c r="G6" s="10" t="s">
        <v>28</v>
      </c>
      <c r="H6" s="11"/>
    </row>
    <row r="7" ht="22.5" customHeight="1">
      <c r="A7" s="8" t="s">
        <v>20</v>
      </c>
      <c r="B7" s="9" t="s">
        <v>29</v>
      </c>
      <c r="C7" s="9" t="s">
        <v>30</v>
      </c>
      <c r="D7" s="5" t="s">
        <v>26</v>
      </c>
      <c r="E7" s="5" t="s">
        <v>27</v>
      </c>
      <c r="F7" s="6">
        <f t="shared" si="1"/>
        <v>46269</v>
      </c>
      <c r="G7" s="7" t="s">
        <v>31</v>
      </c>
      <c r="H7" s="11"/>
    </row>
    <row r="8" ht="22.5" customHeight="1">
      <c r="A8" s="12" t="s">
        <v>32</v>
      </c>
      <c r="B8" s="13" t="s">
        <v>33</v>
      </c>
      <c r="C8" s="13" t="s">
        <v>34</v>
      </c>
      <c r="D8" s="5" t="s">
        <v>35</v>
      </c>
      <c r="E8" s="5" t="s">
        <v>27</v>
      </c>
      <c r="F8" s="6">
        <f t="shared" ref="F8:F16" si="2">DATE(2026,9,5)</f>
        <v>46270</v>
      </c>
      <c r="G8" s="7" t="s">
        <v>36</v>
      </c>
      <c r="H8" s="11"/>
    </row>
    <row r="9" ht="22.5" customHeight="1">
      <c r="A9" s="14" t="s">
        <v>37</v>
      </c>
      <c r="B9" s="15" t="s">
        <v>38</v>
      </c>
      <c r="C9" s="15" t="s">
        <v>39</v>
      </c>
      <c r="D9" s="5" t="s">
        <v>40</v>
      </c>
      <c r="E9" s="5" t="s">
        <v>27</v>
      </c>
      <c r="F9" s="6">
        <f t="shared" si="2"/>
        <v>46270</v>
      </c>
      <c r="G9" s="7" t="s">
        <v>41</v>
      </c>
      <c r="H9" s="11"/>
    </row>
    <row r="10" ht="22.5" customHeight="1">
      <c r="A10" s="14" t="s">
        <v>37</v>
      </c>
      <c r="B10" s="15" t="s">
        <v>42</v>
      </c>
      <c r="C10" s="15" t="s">
        <v>43</v>
      </c>
      <c r="D10" s="5" t="s">
        <v>40</v>
      </c>
      <c r="E10" s="5" t="s">
        <v>27</v>
      </c>
      <c r="F10" s="6">
        <f t="shared" si="2"/>
        <v>46270</v>
      </c>
      <c r="G10" s="7" t="s">
        <v>44</v>
      </c>
      <c r="H10" s="11"/>
    </row>
    <row r="11" ht="22.5" customHeight="1">
      <c r="A11" s="14" t="s">
        <v>37</v>
      </c>
      <c r="B11" s="15" t="s">
        <v>45</v>
      </c>
      <c r="C11" s="15" t="s">
        <v>46</v>
      </c>
      <c r="D11" s="5" t="s">
        <v>40</v>
      </c>
      <c r="E11" s="5" t="s">
        <v>27</v>
      </c>
      <c r="F11" s="6">
        <f t="shared" si="2"/>
        <v>46270</v>
      </c>
      <c r="G11" s="7" t="s">
        <v>47</v>
      </c>
      <c r="H11" s="11"/>
    </row>
    <row r="12" ht="22.5" customHeight="1">
      <c r="A12" s="12" t="s">
        <v>32</v>
      </c>
      <c r="B12" s="13" t="s">
        <v>48</v>
      </c>
      <c r="C12" s="13" t="s">
        <v>49</v>
      </c>
      <c r="D12" s="5" t="s">
        <v>35</v>
      </c>
      <c r="E12" s="5" t="s">
        <v>27</v>
      </c>
      <c r="F12" s="6">
        <f t="shared" si="2"/>
        <v>46270</v>
      </c>
      <c r="G12" s="7" t="s">
        <v>50</v>
      </c>
      <c r="H12" s="11"/>
    </row>
    <row r="13" ht="22.5" customHeight="1">
      <c r="A13" s="12" t="s">
        <v>32</v>
      </c>
      <c r="B13" s="13" t="s">
        <v>51</v>
      </c>
      <c r="C13" s="13" t="s">
        <v>52</v>
      </c>
      <c r="D13" s="5" t="s">
        <v>35</v>
      </c>
      <c r="E13" s="5" t="s">
        <v>27</v>
      </c>
      <c r="F13" s="6">
        <f t="shared" si="2"/>
        <v>46270</v>
      </c>
      <c r="G13" s="7" t="s">
        <v>53</v>
      </c>
      <c r="H13" s="11"/>
    </row>
    <row r="14" ht="22.5" customHeight="1">
      <c r="A14" s="16" t="s">
        <v>54</v>
      </c>
      <c r="B14" s="17" t="s">
        <v>55</v>
      </c>
      <c r="C14" s="17" t="s">
        <v>56</v>
      </c>
      <c r="D14" s="5" t="s">
        <v>40</v>
      </c>
      <c r="E14" s="18" t="s">
        <v>57</v>
      </c>
      <c r="F14" s="6">
        <f t="shared" si="2"/>
        <v>46270</v>
      </c>
      <c r="G14" s="19" t="s">
        <v>58</v>
      </c>
      <c r="H14" s="11"/>
    </row>
    <row r="15" ht="22.5" customHeight="1">
      <c r="A15" s="16" t="s">
        <v>54</v>
      </c>
      <c r="B15" s="17" t="s">
        <v>59</v>
      </c>
      <c r="C15" s="17" t="s">
        <v>60</v>
      </c>
      <c r="D15" s="5" t="s">
        <v>40</v>
      </c>
      <c r="E15" s="18" t="s">
        <v>57</v>
      </c>
      <c r="F15" s="6">
        <f t="shared" si="2"/>
        <v>46270</v>
      </c>
      <c r="G15" s="19" t="s">
        <v>61</v>
      </c>
      <c r="H15" s="11"/>
    </row>
    <row r="16" ht="22.5" customHeight="1">
      <c r="A16" s="16" t="s">
        <v>54</v>
      </c>
      <c r="B16" s="17" t="s">
        <v>62</v>
      </c>
      <c r="C16" s="17" t="s">
        <v>63</v>
      </c>
      <c r="D16" s="5" t="s">
        <v>40</v>
      </c>
      <c r="E16" s="18" t="s">
        <v>57</v>
      </c>
      <c r="F16" s="6">
        <f t="shared" si="2"/>
        <v>46270</v>
      </c>
      <c r="G16" s="19" t="s">
        <v>64</v>
      </c>
      <c r="H16" s="11"/>
    </row>
    <row r="17" ht="22.5" customHeight="1">
      <c r="A17" s="20" t="s">
        <v>65</v>
      </c>
      <c r="B17" s="21" t="s">
        <v>66</v>
      </c>
      <c r="C17" s="21" t="s">
        <v>67</v>
      </c>
      <c r="D17" s="5" t="s">
        <v>40</v>
      </c>
      <c r="E17" s="18" t="s">
        <v>57</v>
      </c>
      <c r="F17" s="6">
        <f t="shared" ref="F17:F19" si="3">DATE(2026,9,6)</f>
        <v>46271</v>
      </c>
      <c r="G17" s="19" t="s">
        <v>68</v>
      </c>
      <c r="H17" s="11"/>
    </row>
    <row r="18" ht="22.5" customHeight="1">
      <c r="A18" s="20" t="s">
        <v>65</v>
      </c>
      <c r="B18" s="21" t="s">
        <v>69</v>
      </c>
      <c r="C18" s="21" t="s">
        <v>70</v>
      </c>
      <c r="D18" s="5" t="s">
        <v>40</v>
      </c>
      <c r="E18" s="18" t="s">
        <v>57</v>
      </c>
      <c r="F18" s="6">
        <f t="shared" si="3"/>
        <v>46271</v>
      </c>
      <c r="G18" s="19" t="s">
        <v>71</v>
      </c>
      <c r="H18" s="11"/>
    </row>
    <row r="19" ht="22.5" customHeight="1">
      <c r="A19" s="20" t="s">
        <v>65</v>
      </c>
      <c r="B19" s="21" t="s">
        <v>72</v>
      </c>
      <c r="C19" s="21" t="s">
        <v>73</v>
      </c>
      <c r="D19" s="5" t="s">
        <v>40</v>
      </c>
      <c r="E19" s="18" t="s">
        <v>57</v>
      </c>
      <c r="F19" s="6">
        <f t="shared" si="3"/>
        <v>46271</v>
      </c>
      <c r="G19" s="22"/>
      <c r="H19" s="11"/>
    </row>
    <row r="21" ht="15.75" customHeight="1"/>
    <row r="22" ht="15.75" customHeight="1">
      <c r="A22" s="23" t="s">
        <v>0</v>
      </c>
      <c r="B22" s="23" t="s">
        <v>74</v>
      </c>
      <c r="C22" s="23" t="s">
        <v>75</v>
      </c>
    </row>
    <row r="23" ht="15.75" customHeight="1">
      <c r="A23" s="24" t="s">
        <v>8</v>
      </c>
      <c r="B23" s="25" t="s">
        <v>76</v>
      </c>
      <c r="C23" s="25" t="s">
        <v>77</v>
      </c>
    </row>
    <row r="24" ht="15.75" customHeight="1">
      <c r="A24" s="24" t="s">
        <v>20</v>
      </c>
      <c r="B24" s="25" t="s">
        <v>78</v>
      </c>
      <c r="C24" s="25" t="s">
        <v>79</v>
      </c>
    </row>
    <row r="25" ht="15.75" customHeight="1">
      <c r="A25" s="24" t="s">
        <v>37</v>
      </c>
      <c r="B25" s="25" t="s">
        <v>80</v>
      </c>
      <c r="C25" s="24" t="s">
        <v>81</v>
      </c>
    </row>
    <row r="26" ht="15.75" customHeight="1">
      <c r="A26" s="24" t="s">
        <v>32</v>
      </c>
      <c r="B26" s="25" t="s">
        <v>82</v>
      </c>
      <c r="C26" s="25" t="s">
        <v>83</v>
      </c>
    </row>
    <row r="27" ht="15.75" customHeight="1">
      <c r="A27" s="24" t="s">
        <v>54</v>
      </c>
      <c r="B27" s="24" t="s">
        <v>84</v>
      </c>
      <c r="C27" s="25" t="s">
        <v>85</v>
      </c>
    </row>
    <row r="28" ht="15.75" customHeight="1">
      <c r="A28" s="26" t="s">
        <v>65</v>
      </c>
      <c r="B28" s="26" t="s">
        <v>86</v>
      </c>
      <c r="C28" s="26" t="s">
        <v>87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D2:E19">
    <cfRule type="expression" dxfId="5" priority="1">
      <formula>D2="Done"</formula>
    </cfRule>
  </conditionalFormatting>
  <conditionalFormatting sqref="D2:E19">
    <cfRule type="expression" dxfId="6" priority="2">
      <formula>D2="In Progress"</formula>
    </cfRule>
  </conditionalFormatting>
  <conditionalFormatting sqref="D2:E19">
    <cfRule type="expression" dxfId="7" priority="3">
      <formula>D2="Blocked"</formula>
    </cfRule>
  </conditionalFormatting>
  <dataValidations>
    <dataValidation type="list" allowBlank="1" sqref="E2:E19">
      <formula1>"Not Started,In Progress,Blocked,Done"</formula1>
    </dataValidation>
    <dataValidation type="list" allowBlank="1" sqref="D2:D19">
      <formula1>"Grace,Habib,Rizki,All Member"</formula1>
    </dataValidation>
    <dataValidation type="custom" allowBlank="1" showDropDown="1" sqref="F2:F19">
      <formula1>OR(NOT(ISERROR(DATEVALUE(F2))), AND(ISNUMBER(F2), LEFT(CELL("format", F2))="D"))</formula1>
    </dataValidation>
  </dataValidations>
  <hyperlinks>
    <hyperlink r:id="rId1" ref="G5"/>
    <hyperlink r:id="rId2" ref="G6"/>
  </hyperlinks>
  <printOptions/>
  <pageMargins bottom="0.75" footer="0.0" header="0.0" left="0.7" right="0.7" top="0.75"/>
  <pageSetup orientation="landscape"/>
  <drawing r:id="rId3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2" width="55.0"/>
    <col customWidth="1" min="3" max="3" width="42.0"/>
    <col customWidth="1" min="4" max="26" width="8.63"/>
  </cols>
  <sheetData>
    <row r="1">
      <c r="A1" s="23" t="s">
        <v>0</v>
      </c>
      <c r="B1" s="23" t="s">
        <v>74</v>
      </c>
      <c r="C1" s="23" t="s">
        <v>75</v>
      </c>
    </row>
    <row r="2">
      <c r="A2" s="25" t="s">
        <v>88</v>
      </c>
      <c r="B2" s="25" t="s">
        <v>76</v>
      </c>
      <c r="C2" s="25" t="s">
        <v>77</v>
      </c>
    </row>
    <row r="3">
      <c r="A3" s="25" t="s">
        <v>89</v>
      </c>
      <c r="B3" s="25" t="s">
        <v>78</v>
      </c>
      <c r="C3" s="25" t="s">
        <v>79</v>
      </c>
    </row>
    <row r="4">
      <c r="A4" s="25" t="s">
        <v>90</v>
      </c>
      <c r="B4" s="25" t="s">
        <v>80</v>
      </c>
      <c r="C4" s="25" t="s">
        <v>91</v>
      </c>
    </row>
    <row r="5">
      <c r="A5" s="25" t="s">
        <v>92</v>
      </c>
      <c r="B5" s="25" t="s">
        <v>82</v>
      </c>
      <c r="C5" s="25" t="s">
        <v>83</v>
      </c>
    </row>
    <row r="6">
      <c r="A6" s="25" t="s">
        <v>93</v>
      </c>
      <c r="B6" s="25" t="s">
        <v>94</v>
      </c>
      <c r="C6" s="25" t="s">
        <v>85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